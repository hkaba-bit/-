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②提案サイトマッ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ＭＳ ゴシック"/>
      <b val="1"/>
      <sz val="12"/>
    </font>
    <font>
      <name val="ＭＳ ゴシック"/>
      <sz val="8"/>
    </font>
    <font>
      <name val="ＭＳ ゴシック"/>
      <b val="1"/>
      <sz val="9"/>
    </font>
    <font>
      <name val="ＭＳ ゴシック"/>
      <b val="1"/>
      <sz val="8"/>
    </font>
    <font>
      <name val="ＭＳ ゴシック"/>
      <sz val="9"/>
    </font>
    <font>
      <name val="ＭＳ ゴシック"/>
      <b val="1"/>
      <color rgb="00C00000"/>
      <sz val="9"/>
    </font>
    <font>
      <name val="ＭＳ ゴシック"/>
      <b val="1"/>
      <color rgb="000070C0"/>
      <sz val="9"/>
    </font>
    <font>
      <name val="ＭＳ ゴシック"/>
      <b val="1"/>
      <sz val="10"/>
    </font>
  </fonts>
  <fills count="6">
    <fill>
      <patternFill/>
    </fill>
    <fill>
      <patternFill patternType="gray125"/>
    </fill>
    <fill>
      <patternFill patternType="solid">
        <fgColor rgb="00BFBFBF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/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8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8" fillId="5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85"/>
  <sheetViews>
    <sheetView showGridLines="0" workbookViewId="0">
      <pane xSplit="6" ySplit="6" topLeftCell="G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18" customWidth="1" min="3" max="3"/>
    <col width="16" customWidth="1" min="4" max="4"/>
    <col width="12" customWidth="1" min="5" max="5"/>
    <col width="24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7" customWidth="1" min="21" max="21"/>
    <col width="60" customWidth="1" min="22" max="22"/>
  </cols>
  <sheetData>
    <row r="1" ht="24" customHeight="1">
      <c r="A1" s="1" t="inlineStr">
        <is>
          <t>提案 サイトマップ　／　学校法人城北埼玉学園 城北埼玉中学・高等学校（www.johokusaitama.ac.jp）</t>
        </is>
      </c>
    </row>
    <row r="2">
      <c r="A2" s="2" t="inlineStr">
        <is>
          <t>設計16P（構成列に■のある行数）／デザイン11P（＝テンプレート11種）／WordPress化16行／記事移行2,365件・要確認　　GrowGroup　2026/09/18作成</t>
        </is>
      </c>
    </row>
    <row r="4" ht="18" customHeight="1">
      <c r="A4" s="3" t="inlineStr">
        <is>
          <t>論理構造</t>
        </is>
      </c>
      <c r="G4" s="3" t="inlineStr">
        <is>
          <t>見積</t>
        </is>
      </c>
      <c r="U4" s="3" t="inlineStr">
        <is>
          <t>更新性</t>
        </is>
      </c>
      <c r="V4" s="3" t="inlineStr">
        <is>
          <t>備考・根拠</t>
        </is>
      </c>
    </row>
    <row r="5" ht="18" customHeight="1">
      <c r="A5" s="4" t="inlineStr">
        <is>
          <t>ID</t>
        </is>
      </c>
      <c r="B5" s="4" t="inlineStr">
        <is>
          <t>第1階層</t>
        </is>
      </c>
      <c r="C5" s="4" t="inlineStr">
        <is>
          <t>第2階層</t>
        </is>
      </c>
      <c r="D5" s="4" t="inlineStr">
        <is>
          <t>第3階層</t>
        </is>
      </c>
      <c r="E5" s="4" t="inlineStr">
        <is>
          <t>第4階層</t>
        </is>
      </c>
      <c r="F5" s="4" t="inlineStr">
        <is>
          <t>URL</t>
        </is>
      </c>
      <c r="G5" s="4" t="inlineStr">
        <is>
          <t>構成</t>
        </is>
      </c>
      <c r="K5" s="4" t="inlineStr">
        <is>
          <t>デザイン</t>
        </is>
      </c>
      <c r="O5" s="4" t="inlineStr">
        <is>
          <t>コーディング</t>
        </is>
      </c>
    </row>
    <row r="6" ht="18" customHeight="1">
      <c r="G6" s="5" t="inlineStr">
        <is>
          <t>TOP</t>
        </is>
      </c>
      <c r="H6" s="5" t="inlineStr">
        <is>
          <t>SP</t>
        </is>
      </c>
      <c r="I6" s="5" t="inlineStr">
        <is>
          <t>下層A</t>
        </is>
      </c>
      <c r="J6" s="5" t="inlineStr">
        <is>
          <t>下層B</t>
        </is>
      </c>
      <c r="K6" s="5" t="inlineStr">
        <is>
          <t>TOP</t>
        </is>
      </c>
      <c r="L6" s="5" t="inlineStr">
        <is>
          <t>SP</t>
        </is>
      </c>
      <c r="M6" s="5" t="inlineStr">
        <is>
          <t>下層</t>
        </is>
      </c>
      <c r="N6" s="5" t="inlineStr">
        <is>
          <t>フォーマット</t>
        </is>
      </c>
      <c r="O6" s="5" t="inlineStr">
        <is>
          <t>TOP</t>
        </is>
      </c>
      <c r="P6" s="5" t="inlineStr">
        <is>
          <t>SP</t>
        </is>
      </c>
      <c r="Q6" s="5" t="inlineStr">
        <is>
          <t>下層A</t>
        </is>
      </c>
      <c r="R6" s="5" t="inlineStr">
        <is>
          <t>下層B</t>
        </is>
      </c>
      <c r="S6" s="5" t="inlineStr">
        <is>
          <t>WP</t>
        </is>
      </c>
      <c r="T6" s="5" t="inlineStr">
        <is>
          <t>フォーム</t>
        </is>
      </c>
    </row>
    <row r="7" ht="30" customHeight="1">
      <c r="A7" s="6" t="n">
        <v>1</v>
      </c>
      <c r="B7" s="7" t="inlineStr">
        <is>
          <t>TOP</t>
        </is>
      </c>
      <c r="C7" s="8" t="inlineStr"/>
      <c r="D7" s="8" t="inlineStr"/>
      <c r="E7" s="8" t="inlineStr"/>
      <c r="F7" s="9" t="inlineStr">
        <is>
          <t>/</t>
        </is>
      </c>
      <c r="G7" s="6" t="inlineStr">
        <is>
          <t>■</t>
        </is>
      </c>
      <c r="H7" s="6" t="inlineStr">
        <is>
          <t>■</t>
        </is>
      </c>
      <c r="I7" s="6" t="inlineStr"/>
      <c r="J7" s="6" t="inlineStr"/>
      <c r="K7" s="6" t="inlineStr">
        <is>
          <t>■</t>
        </is>
      </c>
      <c r="L7" s="6" t="inlineStr">
        <is>
          <t>■</t>
        </is>
      </c>
      <c r="M7" s="6" t="inlineStr"/>
      <c r="N7" s="6" t="inlineStr"/>
      <c r="O7" s="6" t="inlineStr">
        <is>
          <t>■</t>
        </is>
      </c>
      <c r="P7" s="6" t="inlineStr">
        <is>
          <t>■</t>
        </is>
      </c>
      <c r="Q7" s="6" t="inlineStr"/>
      <c r="R7" s="6" t="inlineStr"/>
      <c r="S7" s="6" t="inlineStr">
        <is>
          <t>■</t>
        </is>
      </c>
      <c r="T7" s="6" t="inlineStr"/>
      <c r="U7" s="10" t="inlineStr">
        <is>
          <t>◎</t>
        </is>
      </c>
      <c r="V7" s="11" t="inlineStr">
        <is>
          <t>現行トップはHTML 95,161文字（2026-09-18実測）。Googleフォント4ファミリとunpkg @latest の直読みを廃し自己ホスト化。SP基準で情報量と導線を再設計し、受験生／保護者の入口を分ける（論点01）。お知らせ・説明会の最新をWPから自動出力するためWP化</t>
        </is>
      </c>
    </row>
    <row r="8" ht="30" customHeight="1">
      <c r="A8" s="6" t="n">
        <v>2</v>
      </c>
      <c r="B8" s="7" t="inlineStr">
        <is>
          <t>学校案内</t>
        </is>
      </c>
      <c r="C8" s="8" t="inlineStr"/>
      <c r="D8" s="8" t="inlineStr"/>
      <c r="E8" s="8" t="inlineStr"/>
      <c r="F8" s="9" t="inlineStr">
        <is>
          <t>/info/</t>
        </is>
      </c>
      <c r="G8" s="6" t="inlineStr"/>
      <c r="H8" s="6" t="inlineStr"/>
      <c r="I8" s="6" t="inlineStr">
        <is>
          <t>■</t>
        </is>
      </c>
      <c r="J8" s="6" t="inlineStr"/>
      <c r="K8" s="6" t="inlineStr"/>
      <c r="L8" s="6" t="inlineStr"/>
      <c r="M8" s="6" t="inlineStr">
        <is>
          <t>■</t>
        </is>
      </c>
      <c r="N8" s="6" t="inlineStr">
        <is>
          <t>■</t>
        </is>
      </c>
      <c r="O8" s="6" t="inlineStr"/>
      <c r="P8" s="6" t="inlineStr"/>
      <c r="Q8" s="6" t="inlineStr">
        <is>
          <t>■</t>
        </is>
      </c>
      <c r="R8" s="6" t="inlineStr"/>
      <c r="S8" s="6" t="inlineStr"/>
      <c r="T8" s="6" t="inlineStr"/>
      <c r="U8" s="12" t="inlineStr">
        <is>
          <t>△</t>
        </is>
      </c>
      <c r="V8" s="11" t="inlineStr">
        <is>
          <t>現行 /info 配下7本（president / head-teacher / song / philosophy / facility / student-manual / evaluation）の入口。第1階層インデックスの型をここで作り、/course/ が流用する。URLは据え置き（301不要）</t>
        </is>
      </c>
    </row>
    <row r="9" ht="30" customHeight="1">
      <c r="A9" s="13" t="n">
        <v>3</v>
      </c>
      <c r="B9" s="14" t="inlineStr"/>
      <c r="C9" s="14" t="inlineStr">
        <is>
          <t>ごあいさつ</t>
        </is>
      </c>
      <c r="D9" s="14" t="inlineStr"/>
      <c r="E9" s="14" t="inlineStr"/>
      <c r="F9" s="15" t="inlineStr">
        <is>
          <t>/info/message/</t>
        </is>
      </c>
      <c r="G9" s="13" t="inlineStr"/>
      <c r="H9" s="13" t="inlineStr"/>
      <c r="I9" s="13" t="inlineStr"/>
      <c r="J9" s="13" t="inlineStr">
        <is>
          <t>■</t>
        </is>
      </c>
      <c r="K9" s="13" t="inlineStr"/>
      <c r="L9" s="13" t="inlineStr"/>
      <c r="M9" s="13" t="inlineStr">
        <is>
          <t>■</t>
        </is>
      </c>
      <c r="N9" s="13" t="inlineStr">
        <is>
          <t>■</t>
        </is>
      </c>
      <c r="O9" s="13" t="inlineStr"/>
      <c r="P9" s="13" t="inlineStr"/>
      <c r="Q9" s="13" t="inlineStr">
        <is>
          <t>■</t>
        </is>
      </c>
      <c r="R9" s="13" t="inlineStr"/>
      <c r="S9" s="13" t="inlineStr"/>
      <c r="T9" s="13" t="inlineStr"/>
      <c r="U9" s="16" t="inlineStr">
        <is>
          <t>△</t>
        </is>
      </c>
      <c r="V9" s="11" t="inlineStr">
        <is>
          <t>/info/president/（理事長挨拶）と /info/head-teacher/（校長挨拶）を統合。汎用下層テンプレートの型をここで作り、/info/philosophy/ と /access/ が流用する</t>
        </is>
      </c>
    </row>
    <row r="10" ht="30" customHeight="1">
      <c r="A10" s="13" t="n">
        <v>4</v>
      </c>
      <c r="B10" s="14" t="inlineStr"/>
      <c r="C10" s="14" t="inlineStr">
        <is>
          <t>教育理念・校訓</t>
        </is>
      </c>
      <c r="D10" s="14" t="inlineStr"/>
      <c r="E10" s="14" t="inlineStr"/>
      <c r="F10" s="15" t="inlineStr">
        <is>
          <t>/info/philosophy/</t>
        </is>
      </c>
      <c r="G10" s="13" t="inlineStr"/>
      <c r="H10" s="13" t="inlineStr"/>
      <c r="I10" s="13" t="inlineStr"/>
      <c r="J10" s="13" t="inlineStr">
        <is>
          <t>■</t>
        </is>
      </c>
      <c r="K10" s="13" t="inlineStr"/>
      <c r="L10" s="13" t="inlineStr"/>
      <c r="M10" s="13" t="inlineStr"/>
      <c r="N10" s="13" t="inlineStr"/>
      <c r="O10" s="13" t="inlineStr"/>
      <c r="P10" s="13" t="inlineStr"/>
      <c r="Q10" s="13" t="inlineStr"/>
      <c r="R10" s="13" t="inlineStr">
        <is>
          <t>■</t>
        </is>
      </c>
      <c r="S10" s="13" t="inlineStr"/>
      <c r="T10" s="13" t="inlineStr"/>
      <c r="U10" s="16" t="inlineStr">
        <is>
          <t>△</t>
        </is>
      </c>
      <c r="V10" s="11" t="inlineStr">
        <is>
          <t>校訓「着実・勤勉・自主」。/info/song/（校歌）を統合。デザインは /info/message/ の汎用下層型を流用するためデザイン列は空（設計16Pに含み、デザイン11Pには含まない）</t>
        </is>
      </c>
    </row>
    <row r="11" ht="30" customHeight="1">
      <c r="A11" s="13" t="n">
        <v>5</v>
      </c>
      <c r="B11" s="14" t="inlineStr"/>
      <c r="C11" s="14" t="inlineStr">
        <is>
          <t>学校評価・いじめ防止基本方針</t>
        </is>
      </c>
      <c r="D11" s="14" t="inlineStr"/>
      <c r="E11" s="14" t="inlineStr"/>
      <c r="F11" s="15" t="inlineStr">
        <is>
          <t>/info/evaluation/</t>
        </is>
      </c>
      <c r="G11" s="13" t="inlineStr"/>
      <c r="H11" s="13" t="inlineStr"/>
      <c r="I11" s="13" t="inlineStr"/>
      <c r="J11" s="13" t="inlineStr"/>
      <c r="K11" s="13" t="inlineStr"/>
      <c r="L11" s="13" t="inlineStr"/>
      <c r="M11" s="13" t="inlineStr"/>
      <c r="N11" s="13" t="inlineStr"/>
      <c r="O11" s="13" t="inlineStr"/>
      <c r="P11" s="13" t="inlineStr"/>
      <c r="Q11" s="13" t="inlineStr"/>
      <c r="R11" s="13" t="inlineStr">
        <is>
          <t>■</t>
        </is>
      </c>
      <c r="S11" s="13" t="inlineStr">
        <is>
          <t>■</t>
        </is>
      </c>
      <c r="T11" s="13" t="inlineStr"/>
      <c r="U11" s="17" t="inlineStr">
        <is>
          <t>○</t>
        </is>
      </c>
      <c r="V11" s="11" t="inlineStr">
        <is>
          <t>年1回の差し替え。現行原稿のまま汎用下層テンプレートへ流し込み、WPの固定ページで学校が差し替える。設計・デザインの新規工数なし（16P／11Pに含まない）</t>
        </is>
      </c>
    </row>
    <row r="12" ht="30" customHeight="1">
      <c r="A12" s="13" t="n">
        <v>6</v>
      </c>
      <c r="B12" s="14" t="inlineStr"/>
      <c r="C12" s="14" t="inlineStr">
        <is>
          <t>生徒心得</t>
        </is>
      </c>
      <c r="D12" s="14" t="inlineStr"/>
      <c r="E12" s="14" t="inlineStr"/>
      <c r="F12" s="15" t="inlineStr">
        <is>
          <t>/info/student-manual/</t>
        </is>
      </c>
      <c r="G12" s="13" t="inlineStr"/>
      <c r="H12" s="13" t="inlineStr"/>
      <c r="I12" s="13" t="inlineStr"/>
      <c r="J12" s="13" t="inlineStr"/>
      <c r="K12" s="13" t="inlineStr"/>
      <c r="L12" s="13" t="inlineStr"/>
      <c r="M12" s="13" t="inlineStr"/>
      <c r="N12" s="13" t="inlineStr"/>
      <c r="O12" s="13" t="inlineStr"/>
      <c r="P12" s="13" t="inlineStr"/>
      <c r="Q12" s="13" t="inlineStr"/>
      <c r="R12" s="13" t="inlineStr">
        <is>
          <t>■</t>
        </is>
      </c>
      <c r="S12" s="13" t="inlineStr"/>
      <c r="T12" s="13" t="inlineStr"/>
      <c r="U12" s="16" t="inlineStr">
        <is>
          <t>△</t>
        </is>
      </c>
      <c r="V12" s="11" t="inlineStr">
        <is>
          <t>現行原稿のまま汎用下層テンプレートへ流し込み。設計・デザインの新規工数なし（16P／11Pに含まない）</t>
        </is>
      </c>
    </row>
    <row r="13" ht="30" customHeight="1">
      <c r="A13" s="13" t="n">
        <v>7</v>
      </c>
      <c r="B13" s="14" t="inlineStr"/>
      <c r="C13" s="14" t="inlineStr">
        <is>
          <t>アクセス</t>
        </is>
      </c>
      <c r="D13" s="14" t="inlineStr"/>
      <c r="E13" s="14" t="inlineStr"/>
      <c r="F13" s="15" t="inlineStr">
        <is>
          <t>/access/</t>
        </is>
      </c>
      <c r="G13" s="13" t="inlineStr"/>
      <c r="H13" s="13" t="inlineStr"/>
      <c r="I13" s="13" t="inlineStr"/>
      <c r="J13" s="13" t="inlineStr">
        <is>
          <t>■</t>
        </is>
      </c>
      <c r="K13" s="13" t="inlineStr"/>
      <c r="L13" s="13" t="inlineStr"/>
      <c r="M13" s="13" t="inlineStr"/>
      <c r="N13" s="13" t="inlineStr"/>
      <c r="O13" s="13" t="inlineStr"/>
      <c r="P13" s="13" t="inlineStr"/>
      <c r="Q13" s="13" t="inlineStr"/>
      <c r="R13" s="13" t="inlineStr">
        <is>
          <t>■</t>
        </is>
      </c>
      <c r="S13" s="13" t="inlineStr"/>
      <c r="T13" s="13" t="inlineStr"/>
      <c r="U13" s="16" t="inlineStr">
        <is>
          <t>△</t>
        </is>
      </c>
      <c r="V13" s="11" t="inlineStr">
        <is>
          <t>URLは据え置き（301不要）。現行 /access 配下3本（honkawagoe / fujimino / minamifuruya）のスクールバス路線を1ページへ統合。デザインは /info/message/ の汎用下層型を流用</t>
        </is>
      </c>
    </row>
    <row r="14" ht="30" customHeight="1">
      <c r="A14" s="6" t="n">
        <v>8</v>
      </c>
      <c r="B14" s="7" t="inlineStr">
        <is>
          <t>教育・コース</t>
        </is>
      </c>
      <c r="C14" s="8" t="inlineStr"/>
      <c r="D14" s="8" t="inlineStr"/>
      <c r="E14" s="8" t="inlineStr"/>
      <c r="F14" s="9" t="inlineStr">
        <is>
          <t>/course/</t>
        </is>
      </c>
      <c r="G14" s="6" t="inlineStr"/>
      <c r="H14" s="6" t="inlineStr"/>
      <c r="I14" s="6" t="inlineStr"/>
      <c r="J14" s="6" t="inlineStr">
        <is>
          <t>■</t>
        </is>
      </c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>
        <is>
          <t>■</t>
        </is>
      </c>
      <c r="S14" s="6" t="inlineStr"/>
      <c r="T14" s="6" t="inlineStr"/>
      <c r="U14" s="12" t="inlineStr">
        <is>
          <t>△</t>
        </is>
      </c>
      <c r="V14" s="11" t="inlineStr">
        <is>
          <t>学部区分（/junior-high-school・/hs-regular-course・/hs-frontier-course）と /division_category/* の並立で更新情報の導線が二重になっている問題（audit 構造上の問題#2）を、1つの入口へ集約。デザインは /info/ のインデックス型を流用</t>
        </is>
      </c>
    </row>
    <row r="15" ht="30" customHeight="1">
      <c r="A15" s="13" t="n">
        <v>9</v>
      </c>
      <c r="B15" s="14" t="inlineStr"/>
      <c r="C15" s="14" t="inlineStr">
        <is>
          <t>中学校</t>
        </is>
      </c>
      <c r="D15" s="14" t="inlineStr"/>
      <c r="E15" s="14" t="inlineStr"/>
      <c r="F15" s="15" t="inlineStr">
        <is>
          <t>/course/junior/</t>
        </is>
      </c>
      <c r="G15" s="13" t="inlineStr"/>
      <c r="H15" s="13" t="inlineStr"/>
      <c r="I15" s="13" t="inlineStr">
        <is>
          <t>■</t>
        </is>
      </c>
      <c r="J15" s="13" t="inlineStr"/>
      <c r="K15" s="13" t="inlineStr"/>
      <c r="L15" s="13" t="inlineStr"/>
      <c r="M15" s="13" t="inlineStr">
        <is>
          <t>■</t>
        </is>
      </c>
      <c r="N15" s="13" t="inlineStr">
        <is>
          <t>■</t>
        </is>
      </c>
      <c r="O15" s="13" t="inlineStr"/>
      <c r="P15" s="13" t="inlineStr"/>
      <c r="Q15" s="13" t="inlineStr">
        <is>
          <t>■</t>
        </is>
      </c>
      <c r="R15" s="13" t="inlineStr"/>
      <c r="S15" s="13" t="inlineStr">
        <is>
          <t>■</t>
        </is>
      </c>
      <c r="T15" s="13" t="inlineStr"/>
      <c r="U15" s="17" t="inlineStr">
        <is>
          <t>○</t>
        </is>
      </c>
      <c r="V15" s="11" t="inlineStr">
        <is>
          <t>現行 /junior-high-school 配下5本（integrated-learning / syllabus_m / plusalpha / junior / result-junior）を統合。コース詳細テンプレートをここで作り、本科・フロンティアが流用。進学実績とシラバスは年1回更新のため項目化した管理画面で学校が直接更新（論点03）</t>
        </is>
      </c>
    </row>
    <row r="16" ht="30" customHeight="1">
      <c r="A16" s="13" t="n">
        <v>10</v>
      </c>
      <c r="B16" s="14" t="inlineStr"/>
      <c r="C16" s="14" t="inlineStr">
        <is>
          <t>高等学校 本科コース</t>
        </is>
      </c>
      <c r="D16" s="14" t="inlineStr"/>
      <c r="E16" s="14" t="inlineStr"/>
      <c r="F16" s="15" t="inlineStr">
        <is>
          <t>/course/regular/</t>
        </is>
      </c>
      <c r="G16" s="13" t="inlineStr"/>
      <c r="H16" s="13" t="inlineStr"/>
      <c r="I16" s="13" t="inlineStr">
        <is>
          <t>■</t>
        </is>
      </c>
      <c r="J16" s="13" t="inlineStr"/>
      <c r="K16" s="13" t="inlineStr"/>
      <c r="L16" s="13" t="inlineStr"/>
      <c r="M16" s="13" t="inlineStr"/>
      <c r="N16" s="13" t="inlineStr"/>
      <c r="O16" s="13" t="inlineStr"/>
      <c r="P16" s="13" t="inlineStr"/>
      <c r="Q16" s="13" t="inlineStr"/>
      <c r="R16" s="13" t="inlineStr">
        <is>
          <t>■</t>
        </is>
      </c>
      <c r="S16" s="13" t="inlineStr">
        <is>
          <t>■</t>
        </is>
      </c>
      <c r="T16" s="13" t="inlineStr"/>
      <c r="U16" s="17" t="inlineStr">
        <is>
          <t>○</t>
        </is>
      </c>
      <c r="V16" s="11" t="inlineStr">
        <is>
          <t>現行 /hs-regular-course 配下6本（curriculum-main / syllabus / plusalpha / achievement / high / result-high）を統合。命名の不統一（syllabus と syllabus_m、result-high と result-junior）をここで解消。デザインは /course/junior/ の型を流用</t>
        </is>
      </c>
    </row>
    <row r="17" ht="30" customHeight="1">
      <c r="A17" s="13" t="n">
        <v>11</v>
      </c>
      <c r="B17" s="14" t="inlineStr"/>
      <c r="C17" s="14" t="inlineStr">
        <is>
          <t>高等学校 フロンティアコース</t>
        </is>
      </c>
      <c r="D17" s="14" t="inlineStr"/>
      <c r="E17" s="14" t="inlineStr"/>
      <c r="F17" s="15" t="inlineStr">
        <is>
          <t>/course/frontier/</t>
        </is>
      </c>
      <c r="G17" s="13" t="inlineStr"/>
      <c r="H17" s="13" t="inlineStr"/>
      <c r="I17" s="13" t="inlineStr">
        <is>
          <t>■</t>
        </is>
      </c>
      <c r="J17" s="13" t="inlineStr"/>
      <c r="K17" s="13" t="inlineStr"/>
      <c r="L17" s="13" t="inlineStr"/>
      <c r="M17" s="13" t="inlineStr"/>
      <c r="N17" s="13" t="inlineStr"/>
      <c r="O17" s="13" t="inlineStr"/>
      <c r="P17" s="13" t="inlineStr"/>
      <c r="Q17" s="13" t="inlineStr"/>
      <c r="R17" s="13" t="inlineStr">
        <is>
          <t>■</t>
        </is>
      </c>
      <c r="S17" s="13" t="inlineStr">
        <is>
          <t>■</t>
        </is>
      </c>
      <c r="T17" s="13" t="inlineStr"/>
      <c r="U17" s="17" t="inlineStr">
        <is>
          <t>○</t>
        </is>
      </c>
      <c r="V17" s="11" t="inlineStr">
        <is>
          <t>「フロンティアコースの情報が古い」（2026-07-03ヒアリング・喫緊）の受け皿。現行 /hs-frontier-course 配下3本（learning / learning/field-work / learning/project-learning）を統合。デザインは /course/junior/ の型を流用</t>
        </is>
      </c>
    </row>
    <row r="18" ht="30" customHeight="1">
      <c r="A18" s="6" t="n">
        <v>12</v>
      </c>
      <c r="B18" s="7" t="inlineStr">
        <is>
          <t>学校生活</t>
        </is>
      </c>
      <c r="C18" s="8" t="inlineStr"/>
      <c r="D18" s="8" t="inlineStr"/>
      <c r="E18" s="8" t="inlineStr"/>
      <c r="F18" s="9" t="inlineStr">
        <is>
          <t>/school-life/</t>
        </is>
      </c>
      <c r="G18" s="6" t="inlineStr"/>
      <c r="H18" s="6" t="inlineStr"/>
      <c r="I18" s="6" t="inlineStr">
        <is>
          <t>■</t>
        </is>
      </c>
      <c r="J18" s="6" t="inlineStr"/>
      <c r="K18" s="6" t="inlineStr"/>
      <c r="L18" s="6" t="inlineStr"/>
      <c r="M18" s="6" t="inlineStr">
        <is>
          <t>■</t>
        </is>
      </c>
      <c r="N18" s="6" t="inlineStr">
        <is>
          <t>■</t>
        </is>
      </c>
      <c r="O18" s="6" t="inlineStr"/>
      <c r="P18" s="6" t="inlineStr"/>
      <c r="Q18" s="6" t="inlineStr">
        <is>
          <t>■</t>
        </is>
      </c>
      <c r="R18" s="6" t="inlineStr"/>
      <c r="S18" s="6" t="inlineStr">
        <is>
          <t>■</t>
        </is>
      </c>
      <c r="T18" s="6" t="inlineStr"/>
      <c r="U18" s="18" t="inlineStr">
        <is>
          <t>○</t>
        </is>
      </c>
      <c r="V18" s="11" t="inlineStr">
        <is>
          <t>現行 /life 配下3本（school-life / event / gallery）と /info/facility/（施設案内）を統合。年間行事とギャラリーは写真の差し替えが年数回発生するためWPで項目化</t>
        </is>
      </c>
    </row>
    <row r="19" ht="30" customHeight="1">
      <c r="A19" s="6" t="n">
        <v>13</v>
      </c>
      <c r="B19" s="7" t="inlineStr">
        <is>
          <t>部活動</t>
        </is>
      </c>
      <c r="C19" s="8" t="inlineStr"/>
      <c r="D19" s="8" t="inlineStr"/>
      <c r="E19" s="8" t="inlineStr"/>
      <c r="F19" s="9" t="inlineStr">
        <is>
          <t>/club/</t>
        </is>
      </c>
      <c r="G19" s="6" t="inlineStr"/>
      <c r="H19" s="6" t="inlineStr"/>
      <c r="I19" s="6" t="inlineStr">
        <is>
          <t>■</t>
        </is>
      </c>
      <c r="J19" s="6" t="inlineStr"/>
      <c r="K19" s="6" t="inlineStr"/>
      <c r="L19" s="6" t="inlineStr"/>
      <c r="M19" s="6" t="inlineStr">
        <is>
          <t>■</t>
        </is>
      </c>
      <c r="N19" s="6" t="inlineStr">
        <is>
          <t>■</t>
        </is>
      </c>
      <c r="O19" s="6" t="inlineStr"/>
      <c r="P19" s="6" t="inlineStr"/>
      <c r="Q19" s="6" t="inlineStr">
        <is>
          <t>■</t>
        </is>
      </c>
      <c r="R19" s="6" t="inlineStr"/>
      <c r="S19" s="6" t="inlineStr">
        <is>
          <t>■</t>
        </is>
      </c>
      <c r="T19" s="6" t="inlineStr"/>
      <c r="U19" s="18" t="inlineStr">
        <is>
          <t>○</t>
        </is>
      </c>
      <c r="V19" s="11" t="inlineStr">
        <is>
          <t>URLは据え置き（301不要）。現行は /club・/club/culture・/club/workout の3ページに全部活が同居し、スライドバーでは「同好会」も /club を指す（audit 構造上の問題#1）。文化部／運動部で絞り込む一覧に変更。部の新設・統廃合が年数回あるため○</t>
        </is>
      </c>
    </row>
    <row r="20" ht="30" customHeight="1">
      <c r="A20" s="13" t="n">
        <v>14</v>
      </c>
      <c r="B20" s="14" t="inlineStr"/>
      <c r="C20" s="14" t="inlineStr">
        <is>
          <t>部活動 詳細</t>
        </is>
      </c>
      <c r="D20" s="14" t="inlineStr"/>
      <c r="E20" s="14" t="inlineStr"/>
      <c r="F20" s="15" t="inlineStr">
        <is>
          <t>/club/{slug}</t>
        </is>
      </c>
      <c r="G20" s="13" t="inlineStr"/>
      <c r="H20" s="13" t="inlineStr"/>
      <c r="I20" s="13" t="inlineStr">
        <is>
          <t>■</t>
        </is>
      </c>
      <c r="J20" s="13" t="inlineStr"/>
      <c r="K20" s="13" t="inlineStr"/>
      <c r="L20" s="13" t="inlineStr"/>
      <c r="M20" s="13" t="inlineStr">
        <is>
          <t>■</t>
        </is>
      </c>
      <c r="N20" s="13" t="inlineStr">
        <is>
          <t>■</t>
        </is>
      </c>
      <c r="O20" s="13" t="inlineStr"/>
      <c r="P20" s="13" t="inlineStr"/>
      <c r="Q20" s="13" t="inlineStr">
        <is>
          <t>■</t>
        </is>
      </c>
      <c r="R20" s="13" t="inlineStr"/>
      <c r="S20" s="13" t="inlineStr">
        <is>
          <t>■</t>
        </is>
      </c>
      <c r="T20" s="13" t="inlineStr"/>
      <c r="U20" s="19" t="inlineStr">
        <is>
          <t>◎</t>
        </is>
      </c>
      <c r="V20" s="11" t="inlineStr">
        <is>
          <t>部単位の投稿。brief 論点03「部活動を◎」の実装。活動報告・大会結果を顧問が直接更新する。現行サイトに部単位のURLが存在しないため新規（クロール到達190URLに該当なし）</t>
        </is>
      </c>
    </row>
    <row r="21" ht="30" customHeight="1">
      <c r="A21" s="6" t="n">
        <v>15</v>
      </c>
      <c r="B21" s="7" t="inlineStr">
        <is>
          <t>入試・説明会</t>
        </is>
      </c>
      <c r="C21" s="8" t="inlineStr"/>
      <c r="D21" s="8" t="inlineStr"/>
      <c r="E21" s="8" t="inlineStr"/>
      <c r="F21" s="9" t="inlineStr">
        <is>
          <t>/admission/</t>
        </is>
      </c>
      <c r="G21" s="6" t="inlineStr"/>
      <c r="H21" s="6" t="inlineStr"/>
      <c r="I21" s="6" t="inlineStr">
        <is>
          <t>■</t>
        </is>
      </c>
      <c r="J21" s="6" t="inlineStr"/>
      <c r="K21" s="6" t="inlineStr"/>
      <c r="L21" s="6" t="inlineStr"/>
      <c r="M21" s="6" t="inlineStr">
        <is>
          <t>■</t>
        </is>
      </c>
      <c r="N21" s="6" t="inlineStr">
        <is>
          <t>■</t>
        </is>
      </c>
      <c r="O21" s="6" t="inlineStr"/>
      <c r="P21" s="6" t="inlineStr"/>
      <c r="Q21" s="6" t="inlineStr">
        <is>
          <t>■</t>
        </is>
      </c>
      <c r="R21" s="6" t="inlineStr"/>
      <c r="S21" s="6" t="inlineStr">
        <is>
          <t>■</t>
        </is>
      </c>
      <c r="T21" s="6" t="inlineStr"/>
      <c r="U21" s="10" t="inlineStr">
        <is>
          <t>◎</t>
        </is>
      </c>
      <c r="V21" s="11" t="inlineStr">
        <is>
          <t>現行 /application の受け皿。「入試要項が最新化されていない」（2026-07-03ヒアリング・喫緊）への直接の対策。PDFで配信している要項を表組みでHTML化し、毎年の改訂と出願期間中の随時更新を管理画面から行う＝◎</t>
        </is>
      </c>
    </row>
    <row r="22" ht="30" customHeight="1">
      <c r="A22" s="13" t="n">
        <v>16</v>
      </c>
      <c r="B22" s="14" t="inlineStr"/>
      <c r="C22" s="14" t="inlineStr">
        <is>
          <t>説明会・イベント 一覧</t>
        </is>
      </c>
      <c r="D22" s="14" t="inlineStr"/>
      <c r="E22" s="14" t="inlineStr"/>
      <c r="F22" s="15" t="inlineStr">
        <is>
          <t>/admission/briefings/</t>
        </is>
      </c>
      <c r="G22" s="13" t="inlineStr"/>
      <c r="H22" s="13" t="inlineStr"/>
      <c r="I22" s="13" t="inlineStr">
        <is>
          <t>■</t>
        </is>
      </c>
      <c r="J22" s="13" t="inlineStr"/>
      <c r="K22" s="13" t="inlineStr"/>
      <c r="L22" s="13" t="inlineStr"/>
      <c r="M22" s="13" t="inlineStr">
        <is>
          <t>■</t>
        </is>
      </c>
      <c r="N22" s="13" t="inlineStr">
        <is>
          <t>■</t>
        </is>
      </c>
      <c r="O22" s="13" t="inlineStr"/>
      <c r="P22" s="13" t="inlineStr"/>
      <c r="Q22" s="13" t="inlineStr">
        <is>
          <t>■</t>
        </is>
      </c>
      <c r="R22" s="13" t="inlineStr"/>
      <c r="S22" s="13" t="inlineStr">
        <is>
          <t>■</t>
        </is>
      </c>
      <c r="T22" s="13" t="inlineStr"/>
      <c r="U22" s="19" t="inlineStr">
        <is>
          <t>◎</t>
        </is>
      </c>
      <c r="V22" s="11" t="inlineStr">
        <is>
          <t>現行 /briefings/[id]（カスタム投稿）の一覧。開催日・会場・申込導線を一覧上に出す。年間の開催回数が多く投稿での運用実績があるため◎。投稿タイプはそのまま移行</t>
        </is>
      </c>
    </row>
    <row r="23" ht="30" customHeight="1">
      <c r="A23" s="13" t="n">
        <v>17</v>
      </c>
      <c r="B23" s="14" t="inlineStr"/>
      <c r="C23" s="14" t="inlineStr"/>
      <c r="D23" s="14" t="inlineStr">
        <is>
          <t>説明会・イベント 詳細</t>
        </is>
      </c>
      <c r="E23" s="14" t="inlineStr"/>
      <c r="F23" s="15" t="inlineStr">
        <is>
          <t>/admission/briefings/{slug}</t>
        </is>
      </c>
      <c r="G23" s="13" t="inlineStr"/>
      <c r="H23" s="13" t="inlineStr"/>
      <c r="I23" s="13" t="inlineStr"/>
      <c r="J23" s="13" t="inlineStr"/>
      <c r="K23" s="13" t="inlineStr"/>
      <c r="L23" s="13" t="inlineStr"/>
      <c r="M23" s="13" t="inlineStr"/>
      <c r="N23" s="13" t="inlineStr"/>
      <c r="O23" s="13" t="inlineStr"/>
      <c r="P23" s="13" t="inlineStr"/>
      <c r="Q23" s="13" t="inlineStr"/>
      <c r="R23" s="13" t="inlineStr">
        <is>
          <t>■</t>
        </is>
      </c>
      <c r="S23" s="13" t="inlineStr">
        <is>
          <t>■</t>
        </is>
      </c>
      <c r="T23" s="13" t="inlineStr"/>
      <c r="U23" s="19" t="inlineStr">
        <is>
          <t>◎</t>
        </is>
      </c>
      <c r="V23" s="11" t="inlineStr">
        <is>
          <t>設計・デザインは /news/{slug} の記事型を流用し、開催日・会場・申込URLをカスタムフィールドで追加する。新規工数なし（16P／11Pに含まない）</t>
        </is>
      </c>
    </row>
    <row r="24" ht="30" customHeight="1">
      <c r="A24" s="6" t="n">
        <v>18</v>
      </c>
      <c r="B24" s="7" t="inlineStr">
        <is>
          <t>お知らせ</t>
        </is>
      </c>
      <c r="C24" s="8" t="inlineStr"/>
      <c r="D24" s="8" t="inlineStr"/>
      <c r="E24" s="8" t="inlineStr"/>
      <c r="F24" s="9" t="inlineStr">
        <is>
          <t>/news/</t>
        </is>
      </c>
      <c r="G24" s="6" t="inlineStr"/>
      <c r="H24" s="6" t="inlineStr"/>
      <c r="I24" s="6" t="inlineStr">
        <is>
          <t>■</t>
        </is>
      </c>
      <c r="J24" s="6" t="inlineStr"/>
      <c r="K24" s="6" t="inlineStr"/>
      <c r="L24" s="6" t="inlineStr"/>
      <c r="M24" s="6" t="inlineStr">
        <is>
          <t>■</t>
        </is>
      </c>
      <c r="N24" s="6" t="inlineStr">
        <is>
          <t>■</t>
        </is>
      </c>
      <c r="O24" s="6" t="inlineStr"/>
      <c r="P24" s="6" t="inlineStr"/>
      <c r="Q24" s="6" t="inlineStr">
        <is>
          <t>■</t>
        </is>
      </c>
      <c r="R24" s="6" t="inlineStr"/>
      <c r="S24" s="6" t="inlineStr">
        <is>
          <t>■</t>
        </is>
      </c>
      <c r="T24" s="6" t="inlineStr"/>
      <c r="U24" s="10" t="inlineStr">
        <is>
          <t>◎</t>
        </is>
      </c>
      <c r="V24" s="11" t="inlineStr">
        <is>
          <t>URLは据え置き（301不要）。区分（中学校／高校本科／高校フロンティア／その他の4区分）で絞り込む一覧。brief 論点03「お知らせを◎」の実装</t>
        </is>
      </c>
    </row>
    <row r="25" ht="30" customHeight="1">
      <c r="A25" s="13" t="n">
        <v>19</v>
      </c>
      <c r="B25" s="14" t="inlineStr"/>
      <c r="C25" s="14" t="inlineStr">
        <is>
          <t>お知らせ 記事</t>
        </is>
      </c>
      <c r="D25" s="14" t="inlineStr"/>
      <c r="E25" s="14" t="inlineStr"/>
      <c r="F25" s="15" t="inlineStr">
        <is>
          <t>/news/{slug}</t>
        </is>
      </c>
      <c r="G25" s="13" t="inlineStr"/>
      <c r="H25" s="13" t="inlineStr"/>
      <c r="I25" s="13" t="inlineStr">
        <is>
          <t>■</t>
        </is>
      </c>
      <c r="J25" s="13" t="inlineStr"/>
      <c r="K25" s="13" t="inlineStr"/>
      <c r="L25" s="13" t="inlineStr"/>
      <c r="M25" s="13" t="inlineStr">
        <is>
          <t>■</t>
        </is>
      </c>
      <c r="N25" s="13" t="inlineStr">
        <is>
          <t>■</t>
        </is>
      </c>
      <c r="O25" s="13" t="inlineStr"/>
      <c r="P25" s="13" t="inlineStr"/>
      <c r="Q25" s="13" t="inlineStr">
        <is>
          <t>■</t>
        </is>
      </c>
      <c r="R25" s="13" t="inlineStr"/>
      <c r="S25" s="13" t="inlineStr">
        <is>
          <t>■</t>
        </is>
      </c>
      <c r="T25" s="13" t="inlineStr"/>
      <c r="U25" s="19" t="inlineStr">
        <is>
          <t>◎</t>
        </is>
      </c>
      <c r="V25" s="11" t="inlineStr">
        <is>
          <t>現行 /archives/[id] の受け皿。移行対象は2,365件（既存仕様書）／2,321件（サイト情報）で44件差が未確定＝要確認事項1。WordPress上のテーマ刷新のため件数×単価では積まず、パーマリンクとタクソノミの付け替えという作業単位で積む</t>
        </is>
      </c>
    </row>
    <row r="26" ht="30" customHeight="1">
      <c r="A26" s="13" t="n">
        <v>20</v>
      </c>
      <c r="B26" s="14" t="inlineStr"/>
      <c r="C26" s="14" t="inlineStr">
        <is>
          <t>区分別アーカイブ</t>
        </is>
      </c>
      <c r="D26" s="14" t="inlineStr"/>
      <c r="E26" s="14" t="inlineStr"/>
      <c r="F26" s="15" t="inlineStr">
        <is>
          <t>/news/category/{slug}</t>
        </is>
      </c>
      <c r="G26" s="13" t="inlineStr"/>
      <c r="H26" s="13" t="inlineStr"/>
      <c r="I26" s="13" t="inlineStr"/>
      <c r="J26" s="13" t="inlineStr"/>
      <c r="K26" s="13" t="inlineStr"/>
      <c r="L26" s="13" t="inlineStr"/>
      <c r="M26" s="13" t="inlineStr"/>
      <c r="N26" s="13" t="inlineStr"/>
      <c r="O26" s="13" t="inlineStr"/>
      <c r="P26" s="13" t="inlineStr"/>
      <c r="Q26" s="13" t="inlineStr"/>
      <c r="R26" s="13" t="inlineStr"/>
      <c r="S26" s="13" t="inlineStr">
        <is>
          <t>■</t>
        </is>
      </c>
      <c r="T26" s="13" t="inlineStr"/>
      <c r="U26" s="16" t="inlineStr">
        <is>
          <t>△</t>
        </is>
      </c>
      <c r="V26" s="11" t="inlineStr">
        <is>
          <t>現行 /division_category/{slug} の4区分（junior-high-school / high-school-regular / high-school-frontier / other）を移行。絞り込みのみの一覧のため実体ページにせずnoindex。設計・デザインの新規工数なし</t>
        </is>
      </c>
    </row>
    <row r="27" ht="30" customHeight="1">
      <c r="A27" s="6" t="n">
        <v>21</v>
      </c>
      <c r="B27" s="7" t="inlineStr">
        <is>
          <t>共通・その他</t>
        </is>
      </c>
      <c r="C27" s="8" t="inlineStr">
        <is>
          <t>サイトマップ</t>
        </is>
      </c>
      <c r="D27" s="8" t="inlineStr"/>
      <c r="E27" s="8" t="inlineStr"/>
      <c r="F27" s="9" t="inlineStr">
        <is>
          <t>/sitemap/</t>
        </is>
      </c>
      <c r="G27" s="6" t="inlineStr"/>
      <c r="H27" s="6" t="inlineStr"/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>
        <is>
          <t>■</t>
        </is>
      </c>
      <c r="S27" s="6" t="inlineStr">
        <is>
          <t>■</t>
        </is>
      </c>
      <c r="T27" s="6" t="inlineStr"/>
      <c r="U27" s="12" t="inlineStr">
        <is>
          <t>△</t>
        </is>
      </c>
      <c r="V27" s="11" t="inlineStr">
        <is>
          <t>現行 /sitemap の受け皿。WPの投稿・固定ページから自動生成する。設計・デザインの新規工数なし</t>
        </is>
      </c>
    </row>
    <row r="28" ht="30" customHeight="1">
      <c r="A28" s="13" t="n">
        <v>22</v>
      </c>
      <c r="B28" s="14" t="inlineStr"/>
      <c r="C28" s="14" t="inlineStr">
        <is>
          <t>プライバシーポリシー</t>
        </is>
      </c>
      <c r="D28" s="14" t="inlineStr"/>
      <c r="E28" s="14" t="inlineStr"/>
      <c r="F28" s="15" t="inlineStr">
        <is>
          <t>/privacy/</t>
        </is>
      </c>
      <c r="G28" s="13" t="inlineStr"/>
      <c r="H28" s="13" t="inlineStr"/>
      <c r="I28" s="13" t="inlineStr"/>
      <c r="J28" s="13" t="inlineStr"/>
      <c r="K28" s="13" t="inlineStr"/>
      <c r="L28" s="13" t="inlineStr"/>
      <c r="M28" s="13" t="inlineStr"/>
      <c r="N28" s="13" t="inlineStr"/>
      <c r="O28" s="13" t="inlineStr"/>
      <c r="P28" s="13" t="inlineStr"/>
      <c r="Q28" s="13" t="inlineStr"/>
      <c r="R28" s="13" t="inlineStr">
        <is>
          <t>■</t>
        </is>
      </c>
      <c r="S28" s="13" t="inlineStr"/>
      <c r="T28" s="13" t="inlineStr"/>
      <c r="U28" s="16" t="inlineStr">
        <is>
          <t>×</t>
        </is>
      </c>
      <c r="V28" s="11" t="inlineStr">
        <is>
          <t>現行サイトに該当ページなし（2026-09-18のクロール到達190URLに存在せず）。新規追加の要否は要確認事項4。追加する場合も汎用下層テンプレートへの流し込みで、16P／11Pは超えない</t>
        </is>
      </c>
    </row>
    <row r="29" ht="30" customHeight="1">
      <c r="A29" s="13" t="n">
        <v>23</v>
      </c>
      <c r="B29" s="14" t="inlineStr"/>
      <c r="C29" s="14" t="inlineStr">
        <is>
          <t>寄付のお願い</t>
        </is>
      </c>
      <c r="D29" s="14" t="inlineStr"/>
      <c r="E29" s="14" t="inlineStr"/>
      <c r="F29" s="15" t="inlineStr">
        <is>
          <t>/donations/</t>
        </is>
      </c>
      <c r="G29" s="13" t="inlineStr"/>
      <c r="H29" s="13" t="inlineStr"/>
      <c r="I29" s="13" t="inlineStr"/>
      <c r="J29" s="13" t="inlineStr"/>
      <c r="K29" s="13" t="inlineStr"/>
      <c r="L29" s="13" t="inlineStr"/>
      <c r="M29" s="13" t="inlineStr"/>
      <c r="N29" s="13" t="inlineStr"/>
      <c r="O29" s="13" t="inlineStr"/>
      <c r="P29" s="13" t="inlineStr"/>
      <c r="Q29" s="13" t="inlineStr"/>
      <c r="R29" s="13" t="inlineStr">
        <is>
          <t>■</t>
        </is>
      </c>
      <c r="S29" s="13" t="inlineStr"/>
      <c r="T29" s="13" t="inlineStr"/>
      <c r="U29" s="16" t="inlineStr">
        <is>
          <t>△</t>
        </is>
      </c>
      <c r="V29" s="11" t="inlineStr">
        <is>
          <t>現行原稿のまま汎用下層テンプレートへ流し込み。設計・デザインの新規工数なし（16P／11Pに含まない）。文言・写真は現行のまま残る</t>
        </is>
      </c>
    </row>
    <row r="30" ht="30" customHeight="1">
      <c r="A30" s="13" t="n">
        <v>24</v>
      </c>
      <c r="B30" s="14" t="inlineStr"/>
      <c r="C30" s="14" t="inlineStr">
        <is>
          <t>卒業生の方へ</t>
        </is>
      </c>
      <c r="D30" s="14" t="inlineStr"/>
      <c r="E30" s="14" t="inlineStr"/>
      <c r="F30" s="15" t="inlineStr">
        <is>
          <t>/graduate/</t>
        </is>
      </c>
      <c r="G30" s="13" t="inlineStr"/>
      <c r="H30" s="13" t="inlineStr"/>
      <c r="I30" s="13" t="inlineStr"/>
      <c r="J30" s="13" t="inlineStr"/>
      <c r="K30" s="13" t="inlineStr"/>
      <c r="L30" s="13" t="inlineStr"/>
      <c r="M30" s="13" t="inlineStr"/>
      <c r="N30" s="13" t="inlineStr"/>
      <c r="O30" s="13" t="inlineStr"/>
      <c r="P30" s="13" t="inlineStr"/>
      <c r="Q30" s="13" t="inlineStr"/>
      <c r="R30" s="13" t="inlineStr">
        <is>
          <t>■</t>
        </is>
      </c>
      <c r="S30" s="13" t="inlineStr"/>
      <c r="T30" s="13" t="inlineStr"/>
      <c r="U30" s="16" t="inlineStr">
        <is>
          <t>△</t>
        </is>
      </c>
      <c r="V30" s="11" t="inlineStr">
        <is>
          <t>現行原稿のまま汎用下層テンプレートへ流し込み。設計・デザインの新規工数なし（16P／11Pに含まない）。文言・写真は現行のまま残る</t>
        </is>
      </c>
    </row>
    <row r="31" ht="30" customHeight="1">
      <c r="A31" s="13" t="n">
        <v>25</v>
      </c>
      <c r="B31" s="14" t="inlineStr"/>
      <c r="C31" s="14" t="inlineStr">
        <is>
          <t>教職員採用</t>
        </is>
      </c>
      <c r="D31" s="14" t="inlineStr"/>
      <c r="E31" s="14" t="inlineStr"/>
      <c r="F31" s="15" t="inlineStr">
        <is>
          <t>/recruit/</t>
        </is>
      </c>
      <c r="G31" s="13" t="inlineStr"/>
      <c r="H31" s="13" t="inlineStr"/>
      <c r="I31" s="13" t="inlineStr"/>
      <c r="J31" s="13" t="inlineStr"/>
      <c r="K31" s="13" t="inlineStr"/>
      <c r="L31" s="13" t="inlineStr"/>
      <c r="M31" s="13" t="inlineStr"/>
      <c r="N31" s="13" t="inlineStr"/>
      <c r="O31" s="13" t="inlineStr"/>
      <c r="P31" s="13" t="inlineStr"/>
      <c r="Q31" s="13" t="inlineStr"/>
      <c r="R31" s="13" t="inlineStr">
        <is>
          <t>■</t>
        </is>
      </c>
      <c r="S31" s="13" t="inlineStr">
        <is>
          <t>■</t>
        </is>
      </c>
      <c r="T31" s="13" t="inlineStr"/>
      <c r="U31" s="17" t="inlineStr">
        <is>
          <t>○</t>
        </is>
      </c>
      <c r="V31" s="11" t="inlineStr">
        <is>
          <t>募集要項の差し替えが年数回発生するためWPの固定ページで運用。原稿は現行のまま流し込み、設計・デザインの新規工数なし（16P／11Pに含まない）</t>
        </is>
      </c>
    </row>
    <row r="33">
      <c r="B33" s="20" t="inlineStr">
        <is>
          <t>合計（■の数）</t>
        </is>
      </c>
      <c r="G33" s="4" t="n">
        <f>COUNTIF(G7:G31,"■")</f>
        <v>1</v>
      </c>
      <c r="H33" s="4" t="n">
        <f>COUNTIF(H7:H31,"■")</f>
        <v>1</v>
      </c>
      <c r="I33" s="4" t="n">
        <f>COUNTIF(I7:I31,"■")</f>
        <v>11</v>
      </c>
      <c r="J33" s="4" t="n">
        <f>COUNTIF(J7:J31,"■")</f>
        <v>4</v>
      </c>
      <c r="K33" s="4" t="n">
        <f>COUNTIF(K7:K31,"■")</f>
        <v>1</v>
      </c>
      <c r="L33" s="4" t="n">
        <f>COUNTIF(L7:L31,"■")</f>
        <v>1</v>
      </c>
      <c r="M33" s="4" t="n">
        <f>COUNTIF(M7:M31,"■")</f>
        <v>10</v>
      </c>
      <c r="N33" s="4" t="n">
        <f>COUNTIF(N7:N31,"■")</f>
        <v>10</v>
      </c>
      <c r="O33" s="4" t="n">
        <f>COUNTIF(O7:O31,"■")</f>
        <v>1</v>
      </c>
      <c r="P33" s="4" t="n">
        <f>COUNTIF(P7:P31,"■")</f>
        <v>1</v>
      </c>
      <c r="Q33" s="4" t="n">
        <f>COUNTIF(Q7:Q31,"■")</f>
        <v>10</v>
      </c>
      <c r="R33" s="4" t="n">
        <f>COUNTIF(R7:R31,"■")</f>
        <v>13</v>
      </c>
      <c r="S33" s="4" t="n">
        <f>COUNTIF(S7:S31,"■")</f>
        <v>16</v>
      </c>
      <c r="T33" s="4" t="n">
        <f>COUNTIF(T7:T31,"■")</f>
        <v>0</v>
      </c>
    </row>
    <row r="35">
      <c r="B35" s="21" t="inlineStr">
        <is>
          <t>凡例</t>
        </is>
      </c>
    </row>
    <row r="36">
      <c r="B36" s="22" t="inlineStr">
        <is>
          <t>■</t>
        </is>
      </c>
      <c r="D36" s="23" t="inlineStr">
        <is>
          <t>制作対象。該当する工程にマークを入れる</t>
        </is>
      </c>
    </row>
    <row r="37">
      <c r="B37" s="22" t="inlineStr">
        <is>
          <t>更新性 ◎</t>
        </is>
      </c>
      <c r="D37" s="23" t="inlineStr">
        <is>
          <t>公開後に頻繁に更新（月1回以上）。WordPressで運用</t>
        </is>
      </c>
    </row>
    <row r="38">
      <c r="B38" s="22" t="inlineStr">
        <is>
          <t>更新性 ○</t>
        </is>
      </c>
      <c r="D38" s="23" t="inlineStr">
        <is>
          <t>年数回の更新。WordPressで運用</t>
        </is>
      </c>
    </row>
    <row r="39">
      <c r="B39" s="22" t="inlineStr">
        <is>
          <t>更新性 △</t>
        </is>
      </c>
      <c r="D39" s="23" t="inlineStr">
        <is>
          <t>ほぼ更新しない（固定ページ）</t>
        </is>
      </c>
    </row>
    <row r="40">
      <c r="B40" s="22" t="inlineStr">
        <is>
          <t>更新性 ×</t>
        </is>
      </c>
      <c r="D40" s="23" t="inlineStr">
        <is>
          <t>更新しない</t>
        </is>
      </c>
    </row>
    <row r="41">
      <c r="B41" s="22" t="inlineStr">
        <is>
          <t>構成 下層A／下層B</t>
        </is>
      </c>
      <c r="D41" s="23" t="inlineStr">
        <is>
          <t>下層A＝新規に情報設計から起こすページ ／ 下層B＝現行ページの統合・再構成が主のページ</t>
        </is>
      </c>
    </row>
    <row r="42">
      <c r="B42" s="22" t="inlineStr">
        <is>
          <t>デザイン フォーマット</t>
        </is>
      </c>
      <c r="D42" s="23" t="inlineStr">
        <is>
          <t>テンプレート化。この列の■＋TOPがテンプレート総数になる</t>
        </is>
      </c>
    </row>
    <row r="43">
      <c r="B43" s="22" t="inlineStr">
        <is>
          <t>コーディング 下層A／下層B</t>
        </is>
      </c>
      <c r="D43" s="23" t="inlineStr">
        <is>
          <t>下層A＝新規テンプレートを実装するページ ／ 下層B＝既存テンプレートへの流し込み</t>
        </is>
      </c>
    </row>
    <row r="44">
      <c r="B44" s="22" t="inlineStr">
        <is>
          <t>SP 列</t>
        </is>
      </c>
      <c r="D44" s="23" t="inlineStr">
        <is>
          <t>TOPのみ別途起こす。下層のSP対応はレスポンシブとして下層A／下層Bに含む</t>
        </is>
      </c>
    </row>
    <row r="45">
      <c r="B45" s="22" t="inlineStr">
        <is>
          <t>設計16P</t>
        </is>
      </c>
      <c r="D45" s="23" t="inlineStr">
        <is>
          <t>構成列に■が1つ以上ある行数＝16行（受注条件と一致）</t>
        </is>
      </c>
    </row>
    <row r="46">
      <c r="B46" s="22" t="inlineStr">
        <is>
          <t>デザイン11P</t>
        </is>
      </c>
      <c r="D46" s="23" t="inlineStr">
        <is>
          <t>デザイン列に■が1つ以上ある行数＝11行＝テンプレート11種（TOP1＋フォーマット10）。受注条件と一致</t>
        </is>
      </c>
    </row>
    <row r="47">
      <c r="B47" s="22" t="inlineStr">
        <is>
          <t>流し込み2,365P</t>
        </is>
      </c>
      <c r="D47" s="23" t="inlineStr">
        <is>
          <t>ID19（/news/{slug}）の移行件数。行数ではなくコンテンツ移行の数量</t>
        </is>
      </c>
    </row>
    <row r="49">
      <c r="B49" s="24" t="inlineStr">
        <is>
          <t>今回は制作対象外（現状のまま据え置き）</t>
        </is>
      </c>
    </row>
    <row r="50">
      <c r="B50" s="22" t="inlineStr">
        <is>
          <t>不正URL 約90本（`--&gt;&lt;!--` 混入）</t>
        </is>
      </c>
      <c r="D50" s="23" t="inlineStr">
        <is>
          <t>新規構築のため移行対象にしない。現行テンプレートのコメント崩れによる生成物で実体ページではない（current-site-audit.md P0。クロール到達190URL中の約47%、現行は301で正規URLへ転送されているだけ）。公開前チェックに「HTMLコメント内に --&gt; を含む出力がないか」を必ず入れる</t>
        </is>
      </c>
    </row>
    <row r="51">
      <c r="B51" s="22" t="inlineStr">
        <is>
          <t>旧構造 /education/* ・ /activity/*</t>
        </is>
      </c>
      <c r="D51" s="23" t="inlineStr">
        <is>
          <t>上記P0経由で露出しているだけのコメントアウト済みリンク。移行対象にしない</t>
        </is>
      </c>
    </row>
    <row r="52">
      <c r="B52" s="22" t="inlineStr">
        <is>
          <t>/donations/ ・ /graduate/ ・ /recruit/ ・ /info/student-manual/ ・ /info/evaluation/</t>
        </is>
      </c>
      <c r="D52" s="23" t="inlineStr">
        <is>
          <t>新テンプレートへ流し込むのみ。設計・デザインを起こさないため、文言・写真・構成は現行のまま残る。刷新したい場合は設計16P・デザイン11Pを超える</t>
        </is>
      </c>
    </row>
    <row r="53">
      <c r="B53" s="22" t="inlineStr">
        <is>
          <t>PDFのHTML化</t>
        </is>
      </c>
      <c r="D53" s="23" t="inlineStr">
        <is>
          <t>「PDF中心の情報配信」（既存仕様書 問題点）は課題だが、掲載数が未取得のため対象ページを本シートに含めていない。HTML化する対象が決まるとページ数が増える（要確認事項2）</t>
        </is>
      </c>
    </row>
    <row r="54">
      <c r="B54" s="22" t="inlineStr">
        <is>
          <t>資料請求・お問い合わせフォーム</t>
        </is>
      </c>
      <c r="D54" s="23" t="inlineStr">
        <is>
          <t>受注条件の設計16P・デザイン11Pに含まれないため行を立てていない。フォーム列の合計は0件。必要なら別途見積（要確認事項3）</t>
        </is>
      </c>
    </row>
    <row r="55">
      <c r="B55" s="22" t="inlineStr">
        <is>
          <t>サーバ・ドメイン移行</t>
        </is>
      </c>
      <c r="D55" s="23" t="inlineStr">
        <is>
          <t>現行はXserverビジネス（ns*.xbiz.ne.jp）。移行先の判断は本シートの対象外。HSTS・X-Frame-Options・X-Content-Type-Options が未設定のため、公開時に付与する前提だけ共有する</t>
        </is>
      </c>
    </row>
    <row r="57">
      <c r="B57" s="24" t="inlineStr">
        <is>
          <t>URL移行</t>
        </is>
      </c>
    </row>
    <row r="58">
      <c r="B58" s="22" t="inlineStr">
        <is>
          <t>/info/president/ ・ /info/head-teacher/</t>
        </is>
      </c>
      <c r="D58" s="23" t="inlineStr">
        <is>
          <t>→ /info/message/　※2ページを統合</t>
        </is>
      </c>
    </row>
    <row r="59">
      <c r="B59" s="22" t="inlineStr">
        <is>
          <t>/info/song/</t>
        </is>
      </c>
      <c r="D59" s="23" t="inlineStr">
        <is>
          <t>→ /info/philosophy/　※統合</t>
        </is>
      </c>
    </row>
    <row r="60">
      <c r="B60" s="22" t="inlineStr">
        <is>
          <t>/info/facility/</t>
        </is>
      </c>
      <c r="D60" s="23" t="inlineStr">
        <is>
          <t>→ /school-life/　※統合</t>
        </is>
      </c>
    </row>
    <row r="61">
      <c r="B61" s="22" t="inlineStr">
        <is>
          <t>/life/school-life/ ・ /life/event/ ・ /life/gallery/</t>
        </is>
      </c>
      <c r="D61" s="23" t="inlineStr">
        <is>
          <t>→ /school-life/　※3ページを統合</t>
        </is>
      </c>
    </row>
    <row r="62">
      <c r="B62" s="22" t="inlineStr">
        <is>
          <t>/junior-high-school/*（5本）</t>
        </is>
      </c>
      <c r="D62" s="23" t="inlineStr">
        <is>
          <t>→ /course/junior/　※integrated-learning / syllabus_m / plusalpha / junior / result-junior を統合</t>
        </is>
      </c>
    </row>
    <row r="63">
      <c r="B63" s="22" t="inlineStr">
        <is>
          <t>/hs-regular-course/*（6本）</t>
        </is>
      </c>
      <c r="D63" s="23" t="inlineStr">
        <is>
          <t>→ /course/regular/　※curriculum-main / syllabus / plusalpha / achievement / high / result-high を統合</t>
        </is>
      </c>
    </row>
    <row r="64">
      <c r="B64" s="22" t="inlineStr">
        <is>
          <t>/hs-frontier-course/*（3本）</t>
        </is>
      </c>
      <c r="D64" s="23" t="inlineStr">
        <is>
          <t>→ /course/frontier/　※learning / learning/field-work / learning/project-learning を統合</t>
        </is>
      </c>
    </row>
    <row r="65">
      <c r="B65" s="22" t="inlineStr">
        <is>
          <t>/club/culture/ ・ /club/workout/</t>
        </is>
      </c>
      <c r="D65" s="23" t="inlineStr">
        <is>
          <t>→ /club/（一覧・絞り込み）＋ /club/{slug}（部単位）　※1対1で対応しないため、部単位のURLは新規採番</t>
        </is>
      </c>
    </row>
    <row r="66">
      <c r="B66" s="22" t="inlineStr">
        <is>
          <t>/application/</t>
        </is>
      </c>
      <c r="D66" s="23" t="inlineStr">
        <is>
          <t>→ /admission/</t>
        </is>
      </c>
    </row>
    <row r="67">
      <c r="B67" s="22" t="inlineStr">
        <is>
          <t>/briefings/{id}</t>
        </is>
      </c>
      <c r="D67" s="23" t="inlineStr">
        <is>
          <t>→ /admission/briefings/{slug}　※カスタム投稿。件数は要確認</t>
        </is>
      </c>
    </row>
    <row r="68">
      <c r="B68" s="22" t="inlineStr">
        <is>
          <t>/archives/{id}</t>
        </is>
      </c>
      <c r="D68" s="23" t="inlineStr">
        <is>
          <t>→ /news/{slug}　※2,365件（既存仕様書）／2,321件（サイト情報）。44件差が未確定のため両方を併記＝要確認事項1</t>
        </is>
      </c>
    </row>
    <row r="69">
      <c r="B69" s="22" t="inlineStr">
        <is>
          <t>/division_category/{slug}</t>
        </is>
      </c>
      <c r="D69" s="23" t="inlineStr">
        <is>
          <t>→ /news/category/{slug}　※4区分</t>
        </is>
      </c>
    </row>
    <row r="70">
      <c r="B70" s="22" t="inlineStr">
        <is>
          <t>/info/ ・ /access/ ・ /club/ ・ /news/ ・ /sitemap/</t>
        </is>
      </c>
      <c r="D70" s="23" t="inlineStr">
        <is>
          <t>→ 据え置き（301不要）。1997年取得ドメインの評価を落とさないため、清書できるURLはそのまま使う</t>
        </is>
      </c>
    </row>
    <row r="71">
      <c r="B71" s="22" t="inlineStr">
        <is>
          <t>合計</t>
        </is>
      </c>
      <c r="D71" s="23" t="inlineStr">
        <is>
          <t>正規URL 約100本を301（うち統合により1対1でないものが約30本）。記事は2,365件または2,321件を一括で301。301の総件数は記事の実数が確定してから確定する</t>
        </is>
      </c>
    </row>
    <row r="72">
      <c r="B72" s="22" t="inlineStr">
        <is>
          <t>移行対象外</t>
        </is>
      </c>
      <c r="D72" s="23" t="inlineStr">
        <is>
          <t>`--&gt;&lt;!--` を含む不正URL 約90本は301の対象に含めない（current-site-audit.md P0）</t>
        </is>
      </c>
    </row>
    <row r="74">
      <c r="B74" s="24" t="inlineStr">
        <is>
          <t>要確認事項</t>
        </is>
      </c>
    </row>
    <row r="75">
      <c r="B75" s="22" t="inlineStr">
        <is>
          <t>1.</t>
        </is>
      </c>
      <c r="D75" s="23" t="inlineStr">
        <is>
          <t>移行記事の実数。既存仕様書2,365件／サイト情報2,321件で44件差の出所が不明。移行工数の最大の変数（社内で照合）</t>
        </is>
      </c>
    </row>
    <row r="76">
      <c r="B76" s="22" t="inlineStr">
        <is>
          <t>2.</t>
        </is>
      </c>
      <c r="D76" s="23" t="inlineStr">
        <is>
          <t>PDF掲載数と、HTML化する対象ページ。現行は「PDF中心の情報配信」だが掲載数が未取得。HTML化する対象が決まると設計16P・デザイン11Pを超える</t>
        </is>
      </c>
    </row>
    <row r="77">
      <c r="B77" s="22" t="inlineStr">
        <is>
          <t>3.</t>
        </is>
      </c>
      <c r="D77" s="23" t="inlineStr">
        <is>
          <t>資料請求・お問い合わせフォームの要否。受注条件の16P／11Pに含まれておらず、本シートのフォーム列は0件</t>
        </is>
      </c>
    </row>
    <row r="78">
      <c r="B78" s="22" t="inlineStr">
        <is>
          <t>4.</t>
        </is>
      </c>
      <c r="D78" s="23" t="inlineStr">
        <is>
          <t>プライバシーポリシーの新規追加の要否。現行サイトに該当ページがない</t>
        </is>
      </c>
    </row>
    <row r="79">
      <c r="B79" s="22" t="inlineStr">
        <is>
          <t>5.</t>
        </is>
      </c>
      <c r="D79" s="23" t="inlineStr">
        <is>
          <t>新URL体系への全面切替（/junior-high-school → /course/junior 等）の可否。1997年取得ドメインのため、301の設計を誤ると自然検索が落ちる</t>
        </is>
      </c>
    </row>
    <row r="80">
      <c r="B80" s="22" t="inlineStr">
        <is>
          <t>6.</t>
        </is>
      </c>
      <c r="D80" s="23" t="inlineStr">
        <is>
          <t>進学実績・シラバスをコースページへ統合してよいか（result-junior / result-high / syllabus / syllabus_m の4ページを3ページへ統合する前提）</t>
        </is>
      </c>
    </row>
    <row r="81">
      <c r="B81" s="22" t="inlineStr">
        <is>
          <t>7.</t>
        </is>
      </c>
      <c r="D81" s="23" t="inlineStr">
        <is>
          <t>/donations/ ・ /graduate/ ・ /recruit/ ・ /info/student-manual/ ・ /info/evaluation/ を現行原稿のまま流し込む扱いで問題ないか</t>
        </is>
      </c>
    </row>
    <row r="82">
      <c r="B82" s="22" t="inlineStr">
        <is>
          <t>8.</t>
        </is>
      </c>
      <c r="D82" s="23" t="inlineStr">
        <is>
          <t>周年（2026年＝中学創立25周年、2030年＝高校創立50周年）を新サイトで扱うか。特設ページを作る場合はページ数が増える</t>
        </is>
      </c>
    </row>
    <row r="83">
      <c r="B83" s="22" t="inlineStr">
        <is>
          <t>9.</t>
        </is>
      </c>
      <c r="D83" s="23" t="inlineStr">
        <is>
          <t>GA4のアクセス権。「ユーザーの9割以上がスマートフォン」はヒアリング由来の推定で未検証。SP基準の設計方針（論点01）と数値目標の根拠になる</t>
        </is>
      </c>
    </row>
    <row r="84">
      <c r="B84" s="22" t="inlineStr">
        <is>
          <t>10.</t>
        </is>
      </c>
      <c r="D84" s="23" t="inlineStr">
        <is>
          <t>受注プラン（梅／竹／松）の確定。設計16P・デザイン11Pは竹（18行）に近いが一致しない</t>
        </is>
      </c>
    </row>
    <row r="85">
      <c r="B85" s="22" t="inlineStr">
        <is>
          <t>11.</t>
        </is>
      </c>
      <c r="D85" s="23" t="inlineStr">
        <is>
          <t>デザインの方向性・参考サイト。既存仕様書「3デザインコンセプト」が全て空欄</t>
        </is>
      </c>
    </row>
  </sheetData>
  <mergeCells count="15">
    <mergeCell ref="A2:V2"/>
    <mergeCell ref="V4:V6"/>
    <mergeCell ref="A5:A6"/>
    <mergeCell ref="E5:E6"/>
    <mergeCell ref="O5:T5"/>
    <mergeCell ref="G4:T4"/>
    <mergeCell ref="A1:V1"/>
    <mergeCell ref="U4:U6"/>
    <mergeCell ref="A4:F4"/>
    <mergeCell ref="F5:F6"/>
    <mergeCell ref="D5:D6"/>
    <mergeCell ref="G5:J5"/>
    <mergeCell ref="B5:B6"/>
    <mergeCell ref="K5:N5"/>
    <mergeCell ref="C5:C6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2026-09-18T12:45:57Z</dcterms:created>
  <dcterms:modified xmlns:dcterms="http://purl.org/dc/terms/" xmlns:xsi="http://www.w3.org/2001/XMLSchema-instance" xsi:type="dcterms:W3CDTF">2026-09-18T12:45:57Z</dcterms:modified>
</cp:coreProperties>
</file>